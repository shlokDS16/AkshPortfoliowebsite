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umptions" sheetId="1" r:id="rId1"/>
    <sheet name="DCF" sheetId="2" r:id="rId2"/>
    <sheet name="Check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0.0%"/>
    <numFmt numFmtId="61" formatCode="0.0"/>
    <numFmt numFmtId="62" formatCode="#,##0.0"/>
    <numFmt numFmtId="63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Cost of equity</v>
      </c>
      <c r="B1" s="1">
        <v>0.115</v>
      </c>
    </row>
    <row r="2">
      <c r="A2" t="str">
        <v>Terminal growth</v>
      </c>
      <c r="B2" s="1">
        <v>0.04</v>
      </c>
    </row>
    <row r="3">
      <c r="A3" t="str">
        <v>EBIT margin</v>
      </c>
      <c r="B3" s="1">
        <v>0.2</v>
      </c>
    </row>
    <row r="4">
      <c r="A4" t="str">
        <v>Tax rate</v>
      </c>
      <c r="B4" s="1">
        <v>0.25</v>
      </c>
    </row>
    <row r="5">
      <c r="A5" t="str">
        <v>Revenue growth</v>
      </c>
      <c r="B5" s="1">
        <v>0.08</v>
      </c>
    </row>
    <row r="6">
      <c r="A6" t="str">
        <v>Net debt</v>
      </c>
      <c r="B6" s="2">
        <v>120</v>
      </c>
    </row>
    <row r="7">
      <c r="A7" t="str">
        <v>Shares (m)</v>
      </c>
      <c r="B7" s="3">
        <v>10</v>
      </c>
    </row>
    <row r="8">
      <c r="A8" t="str">
        <v>Base revenue</v>
      </c>
      <c r="B8" s="2">
        <v>1000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Year</v>
      </c>
      <c r="B1">
        <v>1</v>
      </c>
      <c r="C1">
        <v>2</v>
      </c>
      <c r="D1">
        <v>3</v>
      </c>
      <c r="E1">
        <v>4</v>
      </c>
      <c r="F1">
        <v>5</v>
      </c>
    </row>
    <row r="2">
      <c r="A2" t="str">
        <v>Revenue</v>
      </c>
      <c r="B2" s="4">
        <f>Assumptions!B8*(1+Assumptions!B5)</f>
        <v>1080</v>
      </c>
      <c r="C2" s="4">
        <f>B2*(1+Assumptions!B5)</f>
        <v>1166.4</v>
      </c>
      <c r="D2" s="4">
        <f>C2*(1+Assumptions!B5)</f>
        <v>1259.7120000000002</v>
      </c>
      <c r="E2" s="4">
        <f>D2*(1+Assumptions!B5)</f>
        <v>1360.4889600000004</v>
      </c>
      <c r="F2" s="4">
        <f>E2*(1+Assumptions!B5)</f>
        <v>1469.3280768000004</v>
      </c>
    </row>
    <row r="3">
      <c r="A3" t="str">
        <v>EBIT</v>
      </c>
      <c r="B3" s="4">
        <f>B2*Assumptions!B3</f>
        <v>216</v>
      </c>
      <c r="C3" s="4">
        <f>C2*Assumptions!B3</f>
        <v>233.28000000000003</v>
      </c>
      <c r="D3" s="4">
        <f>D2*Assumptions!B3</f>
        <v>251.94240000000005</v>
      </c>
      <c r="E3" s="4">
        <f>E2*Assumptions!B3</f>
        <v>272.0977920000001</v>
      </c>
      <c r="F3" s="4">
        <f>F2*Assumptions!B3</f>
        <v>293.8656153600001</v>
      </c>
    </row>
    <row r="4">
      <c r="A4" t="str">
        <v>Free cash flow</v>
      </c>
      <c r="B4" s="4">
        <f>B3*(1-Assumptions!B4)</f>
        <v>162</v>
      </c>
      <c r="C4" s="4">
        <f>C3*(1-Assumptions!B4)</f>
        <v>174.96000000000004</v>
      </c>
      <c r="D4" s="4">
        <f>D3*(1-Assumptions!B4)</f>
        <v>188.95680000000004</v>
      </c>
      <c r="E4" s="4">
        <f>E3*(1-Assumptions!B4)</f>
        <v>204.07334400000008</v>
      </c>
      <c r="F4" s="4">
        <f>F3*(1-Assumptions!B4)</f>
        <v>220.39921152000008</v>
      </c>
    </row>
    <row r="5">
      <c r="A5" t="str">
        <v>Discount factor</v>
      </c>
      <c r="B5" s="5">
        <f>1/(1+Assumptions!B1)^B1</f>
        <v>0.8968609865470852</v>
      </c>
      <c r="C5" s="5">
        <f>1/(1+Assumptions!B1)^C1</f>
        <v>0.804359629190211</v>
      </c>
      <c r="D5" s="5">
        <f>1/(1+Assumptions!B1)^D1</f>
        <v>0.7213987705741802</v>
      </c>
      <c r="E5" s="5">
        <f>1/(1+Assumptions!B1)^E1</f>
        <v>0.6469944130710137</v>
      </c>
      <c r="F5" s="5">
        <f>1/(1+Assumptions!B1)^F1</f>
        <v>0.5802640475973216</v>
      </c>
    </row>
    <row r="6">
      <c r="A6" t="str">
        <v>PV of FCF</v>
      </c>
      <c r="B6" s="4">
        <f>B4*B5</f>
        <v>145.2914798206278</v>
      </c>
      <c r="C6" s="4">
        <f>C4*C5</f>
        <v>140.73076072311935</v>
      </c>
      <c r="D6" s="4">
        <f>D4*D5</f>
        <v>136.31320321163128</v>
      </c>
      <c r="E6" s="4">
        <f>E4*E5</f>
        <v>132.03431342471913</v>
      </c>
      <c r="F6" s="4">
        <f>F4*F5</f>
        <v>127.88973856385348</v>
      </c>
    </row>
    <row r="8">
      <c r="A8" t="str">
        <v>Sum of PV</v>
      </c>
      <c r="B8" s="4">
        <f>SUM(B6:F6)</f>
        <v>682.2594957439511</v>
      </c>
    </row>
    <row r="9">
      <c r="A9" t="str">
        <v>Terminal value</v>
      </c>
      <c r="B9" s="4">
        <f>F4*(1+Assumptions!B2)/(Assumptions!B1-Assumptions!B2)</f>
        <v>3056.2023997440006</v>
      </c>
    </row>
    <row r="10">
      <c r="A10" t="str">
        <v>PV of terminal value</v>
      </c>
      <c r="B10" s="4">
        <f>B9*F5</f>
        <v>1773.4043747521014</v>
      </c>
    </row>
    <row r="11">
      <c r="A11" t="str">
        <v>Enterprise value</v>
      </c>
      <c r="B11" s="4">
        <f>B8+B10</f>
        <v>2455.6638704960524</v>
      </c>
    </row>
    <row r="12">
      <c r="A12" t="str">
        <v>Equity value</v>
      </c>
      <c r="B12" s="4">
        <f>B11-Assumptions!B6</f>
        <v>2335.6638704960524</v>
      </c>
    </row>
    <row r="13">
      <c r="A13" t="str">
        <v>Per-share result</v>
      </c>
      <c r="B13" s="6">
        <f>B12/Assumptions!B7</f>
        <v>233.56638704960523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NPV cross-check</v>
      </c>
      <c r="B1" s="4">
        <f>NPV(Assumptions!B1,DCF!B4:F4)</f>
        <v>682.2594957439511</v>
      </c>
    </row>
    <row r="2">
      <c r="A2" t="str">
        <v>Lookup, year 3 FCF</v>
      </c>
      <c r="B2" s="4">
        <f>INDEX(DCF!B4:F4,MATCH(3,DCF!B1:F1,0))</f>
        <v>188.95680000000004</v>
      </c>
    </row>
    <row r="3">
      <c r="A3" t="str">
        <v>Stale on purpose</v>
      </c>
      <c r="B3" s="4">
        <f>DCF!B8*1</f>
        <v>687.2594957439511</v>
      </c>
    </row>
    <row r="4">
      <c r="A4" t="str">
        <v>Not computed by the desk</v>
      </c>
      <c r="B4">
        <f>CUBEVALUE("ThisWorkbookDataModel","x")</f>
        <v>42</v>
      </c>
    </row>
    <row r="5">
      <c r="A5" t="str">
        <v>Today</v>
      </c>
      <c r="B5" s="7">
        <f>TODAY()</f>
        <v>46000</v>
      </c>
    </row>
    <row r="6">
      <c r="A6" t="str">
        <v>Loop</v>
      </c>
      <c r="B6">
        <f>B7+1</f>
        <v>1</v>
      </c>
    </row>
    <row r="7">
      <c r="B7">
        <f>B6+1</f>
        <v>1</v>
      </c>
    </row>
    <row r="8">
      <c r="A8" t="str">
        <v>Indirect</v>
      </c>
      <c r="B8" s="4">
        <f>INDIRECT("B1")</f>
        <v>682.2594957439511</v>
      </c>
    </row>
    <row r="9">
      <c r="A9" t="str">
        <v>Reads the stale cell</v>
      </c>
      <c r="B9">
        <f>IF(B3&gt;0,1,0)</f>
        <v>1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DCF</vt:lpstr>
      <vt:lpstr>Checks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